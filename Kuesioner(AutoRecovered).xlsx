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Skripsi kak Febry\"/>
    </mc:Choice>
  </mc:AlternateContent>
  <xr:revisionPtr revIDLastSave="0" documentId="13_ncr:1_{B4B5C6E9-C667-468B-B313-4D218D15B89C}" xr6:coauthVersionLast="47" xr6:coauthVersionMax="47" xr10:uidLastSave="{00000000-0000-0000-0000-000000000000}"/>
  <bookViews>
    <workbookView xWindow="-110" yWindow="-110" windowWidth="19420" windowHeight="10300" firstSheet="1" activeTab="1" xr2:uid="{43D54693-2ECC-4EA3-ACDE-14E306128241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9" sheetId="9" r:id="rId8"/>
    <sheet name="Sheet10" sheetId="10" r:id="rId9"/>
    <sheet name="Sheet11" sheetId="11" r:id="rId10"/>
    <sheet name="Sheet12" sheetId="12" r:id="rId11"/>
    <sheet name="Sheet13" sheetId="13" r:id="rId1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3" l="1"/>
  <c r="C10" i="3"/>
  <c r="C9" i="3"/>
  <c r="I51" i="1"/>
</calcChain>
</file>

<file path=xl/sharedStrings.xml><?xml version="1.0" encoding="utf-8"?>
<sst xmlns="http://schemas.openxmlformats.org/spreadsheetml/2006/main" count="706" uniqueCount="84">
  <si>
    <t>Laki-Laki</t>
  </si>
  <si>
    <t>Usia 26-35 Tahun merupakan Masa Dewasa Awal</t>
  </si>
  <si>
    <t>Usaha Penjualan di Toko dan Pasar (Wira Usaha :Pengusaha, Wiraswasta)</t>
  </si>
  <si>
    <t>Zona Perkotaan (101-300jiwa/ha)</t>
  </si>
  <si>
    <t>Zona Pusat Kota (301-500jiwa/ha)</t>
  </si>
  <si>
    <t>Dalam Rumah</t>
  </si>
  <si>
    <t>Dini hari (00.01-03.59)</t>
  </si>
  <si>
    <t>Senin</t>
  </si>
  <si>
    <t>Ya</t>
  </si>
  <si>
    <t>Gabungan keduanya</t>
  </si>
  <si>
    <t>Dibawah Rp.2.500.000,-</t>
  </si>
  <si>
    <t>Merusak Kunci</t>
  </si>
  <si>
    <t>Pasal 363 (Pencurian dengan Pemberatan)</t>
  </si>
  <si>
    <t>Perempuan</t>
  </si>
  <si>
    <t>Usia 46-55 Tahun merupakan Masa Lansia Awal</t>
  </si>
  <si>
    <t>Area Parkir</t>
  </si>
  <si>
    <t>Minggu</t>
  </si>
  <si>
    <t>Jenis barang/benda bergerak</t>
  </si>
  <si>
    <t>Diatas Rp.2.500.000,-</t>
  </si>
  <si>
    <t>Usia 12-16 Tahun merupakan Masa Remaja Awal</t>
  </si>
  <si>
    <t>Zona Pusat Metro (&gt; 500jiwa/ha)</t>
  </si>
  <si>
    <t>Jalan Raya</t>
  </si>
  <si>
    <t>Malam (18.00-00.00)</t>
  </si>
  <si>
    <t>Pekerja Kasar, Tenaga Kebersihan, dan Tenaga Ybdi (Buruh, Tukang dan Kuli)</t>
  </si>
  <si>
    <t>Zona Preservasi (sesuai daerah masing-masing)</t>
  </si>
  <si>
    <t>Tenaga Usaha Jasa (Tenaga Wira Usaha :Karyawan)</t>
  </si>
  <si>
    <t>Sore (14.00-17.59)</t>
  </si>
  <si>
    <t>Usia 17-25 Tahun merupakan Masa Remaja Akhir</t>
  </si>
  <si>
    <t>Teknisi dan Asisten Tenaga Profesional (PNS, Dosen, Ahli)</t>
  </si>
  <si>
    <t>Halaman Rumah</t>
  </si>
  <si>
    <t>Sabtu</t>
  </si>
  <si>
    <t>Mengambil</t>
  </si>
  <si>
    <t>Zona Pinggir Kota (51-100jiwa/ha)</t>
  </si>
  <si>
    <t>Rabu</t>
  </si>
  <si>
    <t>Tidak</t>
  </si>
  <si>
    <t>Pasal 362 (Pencurian biasa)</t>
  </si>
  <si>
    <t>Merusak Rumah</t>
  </si>
  <si>
    <t>Pagi (04.00-10.59)</t>
  </si>
  <si>
    <t>Tidak Bekerja (Pelajar, IRT)</t>
  </si>
  <si>
    <t>Kamis</t>
  </si>
  <si>
    <t>Jenus barang/benda tidak bergerak</t>
  </si>
  <si>
    <t>Usia 36-45 Tahun merupakan Masa Dewasa Akhir</t>
  </si>
  <si>
    <t>Merampas</t>
  </si>
  <si>
    <t>Usia 56-65 Tahun merupakan Masa Lansia Akhir</t>
  </si>
  <si>
    <t>Selasa</t>
  </si>
  <si>
    <t>Siang (11.00-13.59)</t>
  </si>
  <si>
    <t>Jenis Kelamin</t>
  </si>
  <si>
    <t>Usia</t>
  </si>
  <si>
    <t>Pekerjaan</t>
  </si>
  <si>
    <t>Daerah Tinggal</t>
  </si>
  <si>
    <t>Daerah Peristiwa</t>
  </si>
  <si>
    <t>Tempat Peristiwa</t>
  </si>
  <si>
    <t>Waktu</t>
  </si>
  <si>
    <t>Hari</t>
  </si>
  <si>
    <t>Penggunaan Alat</t>
  </si>
  <si>
    <t>Sasaran</t>
  </si>
  <si>
    <t>Kerugian</t>
  </si>
  <si>
    <t>Modus Operandi</t>
  </si>
  <si>
    <t>Jenis dan Pasal</t>
  </si>
  <si>
    <t>Remaja</t>
  </si>
  <si>
    <t>Dewasa</t>
  </si>
  <si>
    <t>Lansia</t>
  </si>
  <si>
    <t>Besar</t>
  </si>
  <si>
    <t>Kecil</t>
  </si>
  <si>
    <t>Pasal 365 (Pencurian dengan Kekerasan)</t>
  </si>
  <si>
    <t>Indikator</t>
  </si>
  <si>
    <t>Persentase</t>
  </si>
  <si>
    <t>Zona Perkotaan</t>
  </si>
  <si>
    <t>Zona Pusat Kota</t>
  </si>
  <si>
    <t>Zona Pinggir Kota</t>
  </si>
  <si>
    <t>Zona Preservasi</t>
  </si>
  <si>
    <t xml:space="preserve">Zona Perkotaan </t>
  </si>
  <si>
    <t xml:space="preserve">Zona Pusat Kota </t>
  </si>
  <si>
    <t xml:space="preserve">Zona Pinggir Kota </t>
  </si>
  <si>
    <t xml:space="preserve">Zona Pusat Metro </t>
  </si>
  <si>
    <t xml:space="preserve">Zona Preservasi </t>
  </si>
  <si>
    <t>Pasal 363 (Curat)</t>
  </si>
  <si>
    <t>Tinggal di Kota</t>
  </si>
  <si>
    <t>Kasus di Kota</t>
  </si>
  <si>
    <t>Laki-laki</t>
  </si>
  <si>
    <t>Menggunakan Alat</t>
  </si>
  <si>
    <t>Tindak Bekerja</t>
  </si>
  <si>
    <t>Pagi hari</t>
  </si>
  <si>
    <t>Benda Bergerak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</si>
</sst>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Rangkuman Indikator Dominan Pada Tiap-tiap Atribut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Sheet2!$B$2</c:f>
              <c:strCache>
                <c:ptCount val="1"/>
                <c:pt idx="0">
                  <c:v>Laki-laki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Sheet2!$C$2</c:f>
              <c:numCache>
                <c:formatCode>0.00</c:formatCode>
                <c:ptCount val="1"/>
                <c:pt idx="0">
                  <c:v>0.61520047875523598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8A-4CFF-9A3A-9776D89C4BC9}"/>
            </c:ext>
          </c:extLst>
        </c:ser>
        <c:ser>
          <c:idx val="1"/>
          <c:order val="1"/>
          <c:tx>
            <c:strRef>
              <c:f>Sheet2!$B$3</c:f>
              <c:strCache>
                <c:ptCount val="1"/>
                <c:pt idx="0">
                  <c:v>Dewasa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Sheet2!$C$3</c:f>
              <c:numCache>
                <c:formatCode>0.00</c:formatCode>
                <c:ptCount val="1"/>
                <c:pt idx="0">
                  <c:v>0.44464392579293799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8A-4CFF-9A3A-9776D89C4BC9}"/>
            </c:ext>
          </c:extLst>
        </c:ser>
        <c:ser>
          <c:idx val="2"/>
          <c:order val="2"/>
          <c:tx>
            <c:strRef>
              <c:f>Sheet2!$B$4</c:f>
              <c:strCache>
                <c:ptCount val="1"/>
                <c:pt idx="0">
                  <c:v>Tindak Bekerja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accent3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Sheet2!$C$4</c:f>
              <c:numCache>
                <c:formatCode>0.00</c:formatCode>
                <c:ptCount val="1"/>
                <c:pt idx="0">
                  <c:v>0.40993417115499697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8A-4CFF-9A3A-9776D89C4BC9}"/>
            </c:ext>
          </c:extLst>
        </c:ser>
        <c:ser>
          <c:idx val="3"/>
          <c:order val="3"/>
          <c:tx>
            <c:strRef>
              <c:f>Sheet2!$B$5</c:f>
              <c:strCache>
                <c:ptCount val="1"/>
                <c:pt idx="0">
                  <c:v>Tinggal di Kota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accent4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Sheet2!$C$5</c:f>
              <c:numCache>
                <c:formatCode>0.00</c:formatCode>
                <c:ptCount val="1"/>
                <c:pt idx="0">
                  <c:v>0.49072411729503201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8A-4CFF-9A3A-9776D89C4BC9}"/>
            </c:ext>
          </c:extLst>
        </c:ser>
        <c:ser>
          <c:idx val="4"/>
          <c:order val="4"/>
          <c:tx>
            <c:strRef>
              <c:f>Sheet2!$B$6</c:f>
              <c:strCache>
                <c:ptCount val="1"/>
                <c:pt idx="0">
                  <c:v>Area Parkir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accent5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Sheet2!$C$6</c:f>
              <c:numCache>
                <c:formatCode>0.00</c:formatCode>
                <c:ptCount val="1"/>
                <c:pt idx="0">
                  <c:v>0.38061041292639097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C8A-4CFF-9A3A-9776D89C4BC9}"/>
            </c:ext>
          </c:extLst>
        </c:ser>
        <c:ser>
          <c:idx val="5"/>
          <c:order val="5"/>
          <c:tx>
            <c:strRef>
              <c:f>Sheet2!$B$7</c:f>
              <c:strCache>
                <c:ptCount val="1"/>
                <c:pt idx="0">
                  <c:v>Kasus di Kota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accent6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Sheet2!$C$7</c:f>
              <c:numCache>
                <c:formatCode>0.00</c:formatCode>
                <c:ptCount val="1"/>
                <c:pt idx="0">
                  <c:v>0.73189706762417694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C8A-4CFF-9A3A-9776D89C4BC9}"/>
            </c:ext>
          </c:extLst>
        </c:ser>
        <c:ser>
          <c:idx val="6"/>
          <c:order val="6"/>
          <c:tx>
            <c:strRef>
              <c:f>Sheet2!$B$8</c:f>
              <c:strCache>
                <c:ptCount val="1"/>
                <c:pt idx="0">
                  <c:v>Pagi hari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accent1">
                  <a:lumMod val="60000"/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Sheet2!$C$8</c:f>
              <c:numCache>
                <c:formatCode>0.00</c:formatCode>
                <c:ptCount val="1"/>
                <c:pt idx="0">
                  <c:v>0.26690604428485898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C8A-4CFF-9A3A-9776D89C4BC9}"/>
            </c:ext>
          </c:extLst>
        </c:ser>
        <c:ser>
          <c:idx val="7"/>
          <c:order val="7"/>
          <c:tx>
            <c:strRef>
              <c:f>Sheet2!$B$9</c:f>
              <c:strCache>
                <c:ptCount val="1"/>
                <c:pt idx="0">
                  <c:v>Senin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accent2">
                  <a:lumMod val="60000"/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Sheet2!$C$9</c:f>
              <c:numCache>
                <c:formatCode>0.00</c:formatCode>
                <c:ptCount val="1"/>
                <c:pt idx="0">
                  <c:v>0.15499700777977199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C8A-4CFF-9A3A-9776D89C4BC9}"/>
            </c:ext>
          </c:extLst>
        </c:ser>
        <c:ser>
          <c:idx val="8"/>
          <c:order val="8"/>
          <c:tx>
            <c:strRef>
              <c:f>Sheet2!$B$10</c:f>
              <c:strCache>
                <c:ptCount val="1"/>
                <c:pt idx="0">
                  <c:v>Menggunakan Alat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accent3">
                  <a:lumMod val="60000"/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Sheet2!$C$10</c:f>
              <c:numCache>
                <c:formatCode>0.00</c:formatCode>
                <c:ptCount val="1"/>
                <c:pt idx="0">
                  <c:v>0.651705565529623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C8A-4CFF-9A3A-9776D89C4BC9}"/>
            </c:ext>
          </c:extLst>
        </c:ser>
        <c:ser>
          <c:idx val="9"/>
          <c:order val="9"/>
          <c:tx>
            <c:strRef>
              <c:f>Sheet2!$B$11</c:f>
              <c:strCache>
                <c:ptCount val="1"/>
                <c:pt idx="0">
                  <c:v>Benda Bergerak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accent4">
                  <a:lumMod val="60000"/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Sheet2!$C$11</c:f>
              <c:numCache>
                <c:formatCode>0.00</c:formatCode>
                <c:ptCount val="1"/>
                <c:pt idx="0">
                  <c:v>0.57809694793536803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C8A-4CFF-9A3A-9776D89C4BC9}"/>
            </c:ext>
          </c:extLst>
        </c:ser>
        <c:ser>
          <c:idx val="10"/>
          <c:order val="10"/>
          <c:tx>
            <c:strRef>
              <c:f>Sheet2!$B$12</c:f>
              <c:strCache>
                <c:ptCount val="1"/>
                <c:pt idx="0">
                  <c:v>Besar</c:v>
                </c:pt>
              </c:strCache>
            </c:strRef>
          </c:tx>
          <c:spPr>
            <a:solidFill>
              <a:schemeClr val="accent5">
                <a:lumMod val="60000"/>
                <a:alpha val="85000"/>
              </a:schemeClr>
            </a:solidFill>
            <a:ln w="9525" cap="flat" cmpd="sng" algn="ctr">
              <a:solidFill>
                <a:schemeClr val="accent5">
                  <a:lumMod val="60000"/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Sheet2!$C$12</c:f>
              <c:numCache>
                <c:formatCode>0.00</c:formatCode>
                <c:ptCount val="1"/>
                <c:pt idx="0">
                  <c:v>0.89168162776780302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C8A-4CFF-9A3A-9776D89C4BC9}"/>
            </c:ext>
          </c:extLst>
        </c:ser>
        <c:ser>
          <c:idx val="11"/>
          <c:order val="11"/>
          <c:tx>
            <c:strRef>
              <c:f>Sheet2!$B$13</c:f>
              <c:strCache>
                <c:ptCount val="1"/>
                <c:pt idx="0">
                  <c:v>Merusak Kunci</c:v>
                </c:pt>
              </c:strCache>
            </c:strRef>
          </c:tx>
          <c:spPr>
            <a:solidFill>
              <a:schemeClr val="accent6">
                <a:lumMod val="60000"/>
                <a:alpha val="85000"/>
              </a:schemeClr>
            </a:solidFill>
            <a:ln w="9525" cap="flat" cmpd="sng" algn="ctr">
              <a:solidFill>
                <a:schemeClr val="accent6">
                  <a:lumMod val="60000"/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Sheet2!$C$13</c:f>
              <c:numCache>
                <c:formatCode>0.00</c:formatCode>
                <c:ptCount val="1"/>
                <c:pt idx="0">
                  <c:v>0.56912028725314101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C8A-4CFF-9A3A-9776D89C4BC9}"/>
            </c:ext>
          </c:extLst>
        </c:ser>
        <c:ser>
          <c:idx val="12"/>
          <c:order val="12"/>
          <c:tx>
            <c:strRef>
              <c:f>Sheet2!$B$14</c:f>
              <c:strCache>
                <c:ptCount val="1"/>
                <c:pt idx="0">
                  <c:v>Pasal 363 (Curat)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accent1">
                  <a:lumMod val="80000"/>
                  <a:lumOff val="20000"/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lumOff val="20000"/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Sheet2!$C$14</c:f>
              <c:numCache>
                <c:formatCode>0.00</c:formatCode>
                <c:ptCount val="1"/>
                <c:pt idx="0">
                  <c:v>0.61699581089168098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C8A-4CFF-9A3A-9776D89C4BC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1539657104"/>
        <c:axId val="1522271008"/>
        <c:axId val="0"/>
      </c:bar3DChart>
      <c:catAx>
        <c:axId val="1539657104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Indikator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522271008"/>
        <c:crosses val="autoZero"/>
        <c:auto val="1"/>
        <c:lblAlgn val="ctr"/>
        <c:lblOffset val="100"/>
        <c:noMultiLvlLbl val="0"/>
      </c:catAx>
      <c:valAx>
        <c:axId val="1522271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Persentase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657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269875</xdr:colOff>
      <xdr:row>1</xdr:row>
      <xdr:rowOff>142875</xdr:rowOff>
    </xdr:from>
    <xdr:to>
      <xdr:col>11</xdr:col>
      <xdr:colOff>574675</xdr:colOff>
      <xdr:row>16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2E5825-D20A-705C-8A89-227F892854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7438E-0261-4D64-BEA5-302E219DCB4A}">
  <dimension ref="A1:M51"/>
  <sheetViews>
    <sheetView workbookViewId="0">
      <selection activeCell="I51" sqref="I51"/>
    </sheetView>
  </sheetViews>
  <sheetFormatPr defaultRowHeight="14.5" x14ac:dyDescent="0.35"/>
  <sheetData>
    <row r="1" spans="1:13" x14ac:dyDescent="0.3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</row>
    <row r="2" spans="1:13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 spans="1:13" x14ac:dyDescent="0.35">
      <c r="A3" s="1" t="s">
        <v>13</v>
      </c>
      <c r="B3" s="1" t="s">
        <v>14</v>
      </c>
      <c r="C3" s="1" t="s">
        <v>2</v>
      </c>
      <c r="D3" s="1" t="s">
        <v>3</v>
      </c>
      <c r="E3" s="1" t="s">
        <v>4</v>
      </c>
      <c r="F3" s="1" t="s">
        <v>15</v>
      </c>
      <c r="G3" s="1" t="s">
        <v>6</v>
      </c>
      <c r="H3" s="1" t="s">
        <v>16</v>
      </c>
      <c r="I3" s="1" t="s">
        <v>8</v>
      </c>
      <c r="J3" s="1" t="s">
        <v>17</v>
      </c>
      <c r="K3" s="1" t="s">
        <v>18</v>
      </c>
      <c r="L3" s="1" t="s">
        <v>11</v>
      </c>
      <c r="M3" s="1" t="s">
        <v>12</v>
      </c>
    </row>
    <row r="4" spans="1:13" x14ac:dyDescent="0.35">
      <c r="A4" s="1" t="s">
        <v>13</v>
      </c>
      <c r="B4" s="1" t="s">
        <v>19</v>
      </c>
      <c r="C4" s="1" t="s">
        <v>2</v>
      </c>
      <c r="D4" s="1" t="s">
        <v>4</v>
      </c>
      <c r="E4" s="1" t="s">
        <v>20</v>
      </c>
      <c r="F4" s="1" t="s">
        <v>21</v>
      </c>
      <c r="G4" s="1" t="s">
        <v>22</v>
      </c>
      <c r="H4" s="1" t="s">
        <v>16</v>
      </c>
      <c r="I4" s="1" t="s">
        <v>8</v>
      </c>
      <c r="J4" s="1" t="s">
        <v>17</v>
      </c>
      <c r="K4" s="1" t="s">
        <v>18</v>
      </c>
      <c r="L4" s="1" t="s">
        <v>11</v>
      </c>
      <c r="M4" s="1" t="s">
        <v>12</v>
      </c>
    </row>
    <row r="5" spans="1:13" x14ac:dyDescent="0.35">
      <c r="A5" s="1" t="s">
        <v>0</v>
      </c>
      <c r="B5" s="1" t="s">
        <v>1</v>
      </c>
      <c r="C5" s="1" t="s">
        <v>23</v>
      </c>
      <c r="D5" s="1" t="s">
        <v>24</v>
      </c>
      <c r="E5" s="1" t="s">
        <v>4</v>
      </c>
      <c r="F5" s="1" t="s">
        <v>15</v>
      </c>
      <c r="G5" s="1" t="s">
        <v>6</v>
      </c>
      <c r="H5" s="1" t="s">
        <v>16</v>
      </c>
      <c r="I5" s="1" t="s">
        <v>8</v>
      </c>
      <c r="J5" s="1" t="s">
        <v>17</v>
      </c>
      <c r="K5" s="1" t="s">
        <v>18</v>
      </c>
      <c r="L5" s="1" t="s">
        <v>11</v>
      </c>
      <c r="M5" s="1" t="s">
        <v>12</v>
      </c>
    </row>
    <row r="6" spans="1:13" x14ac:dyDescent="0.35">
      <c r="A6" s="1" t="s">
        <v>0</v>
      </c>
      <c r="B6" s="1" t="s">
        <v>1</v>
      </c>
      <c r="C6" s="1" t="s">
        <v>25</v>
      </c>
      <c r="D6" s="1" t="s">
        <v>3</v>
      </c>
      <c r="E6" s="1" t="s">
        <v>3</v>
      </c>
      <c r="F6" s="1" t="s">
        <v>15</v>
      </c>
      <c r="G6" s="1" t="s">
        <v>26</v>
      </c>
      <c r="H6" s="1" t="s">
        <v>7</v>
      </c>
      <c r="I6" s="1" t="s">
        <v>8</v>
      </c>
      <c r="J6" s="1" t="s">
        <v>9</v>
      </c>
      <c r="K6" s="1" t="s">
        <v>18</v>
      </c>
      <c r="L6" s="1" t="s">
        <v>11</v>
      </c>
      <c r="M6" s="1" t="s">
        <v>12</v>
      </c>
    </row>
    <row r="7" spans="1:13" x14ac:dyDescent="0.35">
      <c r="A7" s="1" t="s">
        <v>0</v>
      </c>
      <c r="B7" s="1" t="s">
        <v>27</v>
      </c>
      <c r="C7" s="1" t="s">
        <v>28</v>
      </c>
      <c r="D7" s="1" t="s">
        <v>3</v>
      </c>
      <c r="E7" s="1" t="s">
        <v>3</v>
      </c>
      <c r="F7" s="1" t="s">
        <v>15</v>
      </c>
      <c r="G7" s="1" t="s">
        <v>26</v>
      </c>
      <c r="H7" s="1" t="s">
        <v>7</v>
      </c>
      <c r="I7" s="1" t="s">
        <v>8</v>
      </c>
      <c r="J7" s="1" t="s">
        <v>9</v>
      </c>
      <c r="K7" s="1" t="s">
        <v>18</v>
      </c>
      <c r="L7" s="1" t="s">
        <v>11</v>
      </c>
      <c r="M7" s="1" t="s">
        <v>12</v>
      </c>
    </row>
    <row r="8" spans="1:13" x14ac:dyDescent="0.3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29</v>
      </c>
      <c r="G8" s="1" t="s">
        <v>26</v>
      </c>
      <c r="H8" s="1" t="s">
        <v>30</v>
      </c>
      <c r="I8" s="1" t="s">
        <v>8</v>
      </c>
      <c r="J8" s="1" t="s">
        <v>17</v>
      </c>
      <c r="K8" s="1" t="s">
        <v>18</v>
      </c>
      <c r="L8" s="1" t="s">
        <v>31</v>
      </c>
      <c r="M8" s="1" t="s">
        <v>12</v>
      </c>
    </row>
    <row r="9" spans="1:13" x14ac:dyDescent="0.35">
      <c r="A9" s="1" t="s">
        <v>0</v>
      </c>
      <c r="B9" s="1" t="s">
        <v>1</v>
      </c>
      <c r="C9" s="1" t="s">
        <v>25</v>
      </c>
      <c r="D9" s="1" t="s">
        <v>3</v>
      </c>
      <c r="E9" s="1" t="s">
        <v>3</v>
      </c>
      <c r="F9" s="1" t="s">
        <v>29</v>
      </c>
      <c r="G9" s="1" t="s">
        <v>6</v>
      </c>
      <c r="H9" s="1" t="s">
        <v>16</v>
      </c>
      <c r="I9" s="1" t="s">
        <v>8</v>
      </c>
      <c r="J9" s="1" t="s">
        <v>9</v>
      </c>
      <c r="K9" s="1" t="s">
        <v>18</v>
      </c>
      <c r="L9" s="1" t="s">
        <v>11</v>
      </c>
      <c r="M9" s="1" t="s">
        <v>12</v>
      </c>
    </row>
    <row r="10" spans="1:13" x14ac:dyDescent="0.35">
      <c r="A10" s="1" t="s">
        <v>0</v>
      </c>
      <c r="B10" s="1" t="s">
        <v>27</v>
      </c>
      <c r="C10" s="1" t="s">
        <v>25</v>
      </c>
      <c r="D10" s="1" t="s">
        <v>32</v>
      </c>
      <c r="E10" s="1" t="s">
        <v>32</v>
      </c>
      <c r="F10" s="1" t="s">
        <v>15</v>
      </c>
      <c r="G10" s="1" t="s">
        <v>26</v>
      </c>
      <c r="H10" s="1" t="s">
        <v>33</v>
      </c>
      <c r="I10" s="1" t="s">
        <v>34</v>
      </c>
      <c r="J10" s="1" t="s">
        <v>17</v>
      </c>
      <c r="K10" s="1" t="s">
        <v>10</v>
      </c>
      <c r="L10" s="1" t="s">
        <v>11</v>
      </c>
      <c r="M10" s="1" t="s">
        <v>35</v>
      </c>
    </row>
    <row r="11" spans="1:13" x14ac:dyDescent="0.35">
      <c r="A11" s="1" t="s">
        <v>0</v>
      </c>
      <c r="B11" s="1" t="s">
        <v>27</v>
      </c>
      <c r="C11" s="1" t="s">
        <v>28</v>
      </c>
      <c r="D11" s="1" t="s">
        <v>4</v>
      </c>
      <c r="E11" s="1" t="s">
        <v>20</v>
      </c>
      <c r="F11" s="1" t="s">
        <v>21</v>
      </c>
      <c r="G11" s="1" t="s">
        <v>6</v>
      </c>
      <c r="H11" s="1" t="s">
        <v>30</v>
      </c>
      <c r="I11" s="1" t="s">
        <v>8</v>
      </c>
      <c r="J11" s="1" t="s">
        <v>9</v>
      </c>
      <c r="K11" s="1" t="s">
        <v>18</v>
      </c>
      <c r="L11" s="1" t="s">
        <v>36</v>
      </c>
      <c r="M11" s="1" t="s">
        <v>12</v>
      </c>
    </row>
    <row r="12" spans="1:13" x14ac:dyDescent="0.35">
      <c r="A12" s="1" t="s">
        <v>13</v>
      </c>
      <c r="B12" s="1" t="s">
        <v>1</v>
      </c>
      <c r="C12" s="1" t="s">
        <v>2</v>
      </c>
      <c r="D12" s="1" t="s">
        <v>4</v>
      </c>
      <c r="E12" s="1" t="s">
        <v>4</v>
      </c>
      <c r="F12" s="1" t="s">
        <v>29</v>
      </c>
      <c r="G12" s="1" t="s">
        <v>37</v>
      </c>
      <c r="H12" s="1" t="s">
        <v>7</v>
      </c>
      <c r="I12" s="1" t="s">
        <v>8</v>
      </c>
      <c r="J12" s="1" t="s">
        <v>17</v>
      </c>
      <c r="K12" s="1" t="s">
        <v>18</v>
      </c>
      <c r="L12" s="1" t="s">
        <v>11</v>
      </c>
      <c r="M12" s="1" t="s">
        <v>12</v>
      </c>
    </row>
    <row r="13" spans="1:13" x14ac:dyDescent="0.35">
      <c r="A13" s="1" t="s">
        <v>13</v>
      </c>
      <c r="B13" s="1" t="s">
        <v>19</v>
      </c>
      <c r="C13" s="1" t="s">
        <v>38</v>
      </c>
      <c r="D13" s="1" t="s">
        <v>24</v>
      </c>
      <c r="E13" s="1" t="s">
        <v>3</v>
      </c>
      <c r="F13" s="1" t="s">
        <v>21</v>
      </c>
      <c r="G13" s="1" t="s">
        <v>22</v>
      </c>
      <c r="H13" s="1" t="s">
        <v>30</v>
      </c>
      <c r="I13" s="1" t="s">
        <v>8</v>
      </c>
      <c r="J13" s="1" t="s">
        <v>9</v>
      </c>
      <c r="K13" s="1" t="s">
        <v>18</v>
      </c>
      <c r="L13" s="1" t="s">
        <v>11</v>
      </c>
      <c r="M13" s="1" t="s">
        <v>12</v>
      </c>
    </row>
    <row r="14" spans="1:13" x14ac:dyDescent="0.35">
      <c r="A14" s="1" t="s">
        <v>13</v>
      </c>
      <c r="B14" s="1" t="s">
        <v>27</v>
      </c>
      <c r="C14" s="1" t="s">
        <v>25</v>
      </c>
      <c r="D14" s="1" t="s">
        <v>3</v>
      </c>
      <c r="E14" s="1" t="s">
        <v>32</v>
      </c>
      <c r="F14" s="1" t="s">
        <v>15</v>
      </c>
      <c r="G14" s="1" t="s">
        <v>22</v>
      </c>
      <c r="H14" s="1" t="s">
        <v>30</v>
      </c>
      <c r="I14" s="1" t="s">
        <v>8</v>
      </c>
      <c r="J14" s="1" t="s">
        <v>17</v>
      </c>
      <c r="K14" s="1" t="s">
        <v>18</v>
      </c>
      <c r="L14" s="1" t="s">
        <v>11</v>
      </c>
      <c r="M14" s="1" t="s">
        <v>12</v>
      </c>
    </row>
    <row r="15" spans="1:13" x14ac:dyDescent="0.35">
      <c r="A15" s="1" t="s">
        <v>0</v>
      </c>
      <c r="B15" s="1" t="s">
        <v>1</v>
      </c>
      <c r="C15" s="1" t="s">
        <v>2</v>
      </c>
      <c r="D15" s="1" t="s">
        <v>3</v>
      </c>
      <c r="E15" s="1" t="s">
        <v>3</v>
      </c>
      <c r="F15" s="1" t="s">
        <v>5</v>
      </c>
      <c r="G15" s="1" t="s">
        <v>26</v>
      </c>
      <c r="H15" s="1" t="s">
        <v>39</v>
      </c>
      <c r="I15" s="1" t="s">
        <v>8</v>
      </c>
      <c r="J15" s="1" t="s">
        <v>40</v>
      </c>
      <c r="K15" s="1" t="s">
        <v>18</v>
      </c>
      <c r="L15" s="1" t="s">
        <v>36</v>
      </c>
      <c r="M15" s="1" t="s">
        <v>12</v>
      </c>
    </row>
    <row r="16" spans="1:13" x14ac:dyDescent="0.35">
      <c r="A16" s="1" t="s">
        <v>0</v>
      </c>
      <c r="B16" s="1" t="s">
        <v>41</v>
      </c>
      <c r="C16" s="1" t="s">
        <v>25</v>
      </c>
      <c r="D16" s="1" t="s">
        <v>3</v>
      </c>
      <c r="E16" s="1" t="s">
        <v>20</v>
      </c>
      <c r="F16" s="1" t="s">
        <v>5</v>
      </c>
      <c r="G16" s="1" t="s">
        <v>6</v>
      </c>
      <c r="H16" s="1" t="s">
        <v>30</v>
      </c>
      <c r="I16" s="1" t="s">
        <v>8</v>
      </c>
      <c r="J16" s="1" t="s">
        <v>9</v>
      </c>
      <c r="K16" s="1" t="s">
        <v>18</v>
      </c>
      <c r="L16" s="1" t="s">
        <v>11</v>
      </c>
      <c r="M16" s="1" t="s">
        <v>12</v>
      </c>
    </row>
    <row r="17" spans="1:13" x14ac:dyDescent="0.35">
      <c r="A17" s="1" t="s">
        <v>13</v>
      </c>
      <c r="B17" s="1" t="s">
        <v>27</v>
      </c>
      <c r="C17" s="1" t="s">
        <v>25</v>
      </c>
      <c r="D17" s="1" t="s">
        <v>4</v>
      </c>
      <c r="E17" s="1" t="s">
        <v>4</v>
      </c>
      <c r="F17" s="1" t="s">
        <v>15</v>
      </c>
      <c r="G17" s="1" t="s">
        <v>26</v>
      </c>
      <c r="H17" s="1" t="s">
        <v>30</v>
      </c>
      <c r="I17" s="1" t="s">
        <v>8</v>
      </c>
      <c r="J17" s="1" t="s">
        <v>17</v>
      </c>
      <c r="K17" s="1" t="s">
        <v>18</v>
      </c>
      <c r="L17" s="1" t="s">
        <v>11</v>
      </c>
      <c r="M17" s="1" t="s">
        <v>12</v>
      </c>
    </row>
    <row r="18" spans="1:13" x14ac:dyDescent="0.35">
      <c r="A18" s="1" t="s">
        <v>0</v>
      </c>
      <c r="B18" s="1" t="s">
        <v>41</v>
      </c>
      <c r="C18" s="1" t="s">
        <v>2</v>
      </c>
      <c r="D18" s="1" t="s">
        <v>3</v>
      </c>
      <c r="E18" s="1" t="s">
        <v>3</v>
      </c>
      <c r="F18" s="1" t="s">
        <v>15</v>
      </c>
      <c r="G18" s="1" t="s">
        <v>22</v>
      </c>
      <c r="H18" s="1" t="s">
        <v>7</v>
      </c>
      <c r="I18" s="1" t="s">
        <v>8</v>
      </c>
      <c r="J18" s="1" t="s">
        <v>9</v>
      </c>
      <c r="K18" s="1" t="s">
        <v>18</v>
      </c>
      <c r="L18" s="1" t="s">
        <v>11</v>
      </c>
      <c r="M18" s="1" t="s">
        <v>12</v>
      </c>
    </row>
    <row r="19" spans="1:13" x14ac:dyDescent="0.35">
      <c r="A19" s="1" t="s">
        <v>13</v>
      </c>
      <c r="B19" s="1" t="s">
        <v>1</v>
      </c>
      <c r="C19" s="1" t="s">
        <v>2</v>
      </c>
      <c r="D19" s="1" t="s">
        <v>32</v>
      </c>
      <c r="E19" s="1" t="s">
        <v>32</v>
      </c>
      <c r="F19" s="1" t="s">
        <v>5</v>
      </c>
      <c r="G19" s="1" t="s">
        <v>6</v>
      </c>
      <c r="H19" s="1" t="s">
        <v>16</v>
      </c>
      <c r="I19" s="1" t="s">
        <v>8</v>
      </c>
      <c r="J19" s="1" t="s">
        <v>9</v>
      </c>
      <c r="K19" s="1" t="s">
        <v>18</v>
      </c>
      <c r="L19" s="1" t="s">
        <v>11</v>
      </c>
      <c r="M19" s="1" t="s">
        <v>12</v>
      </c>
    </row>
    <row r="20" spans="1:13" x14ac:dyDescent="0.35">
      <c r="A20" s="1" t="s">
        <v>13</v>
      </c>
      <c r="B20" s="1" t="s">
        <v>1</v>
      </c>
      <c r="C20" s="1" t="s">
        <v>25</v>
      </c>
      <c r="D20" s="1" t="s">
        <v>24</v>
      </c>
      <c r="E20" s="1" t="s">
        <v>24</v>
      </c>
      <c r="F20" s="1" t="s">
        <v>21</v>
      </c>
      <c r="G20" s="1" t="s">
        <v>26</v>
      </c>
      <c r="H20" s="1" t="s">
        <v>33</v>
      </c>
      <c r="I20" s="1" t="s">
        <v>34</v>
      </c>
      <c r="J20" s="1" t="s">
        <v>9</v>
      </c>
      <c r="K20" s="1" t="s">
        <v>18</v>
      </c>
      <c r="L20" s="1" t="s">
        <v>42</v>
      </c>
      <c r="M20" s="1" t="s">
        <v>35</v>
      </c>
    </row>
    <row r="21" spans="1:13" x14ac:dyDescent="0.35">
      <c r="A21" s="1" t="s">
        <v>13</v>
      </c>
      <c r="B21" s="1" t="s">
        <v>27</v>
      </c>
      <c r="C21" s="1" t="s">
        <v>25</v>
      </c>
      <c r="D21" s="1" t="s">
        <v>4</v>
      </c>
      <c r="E21" s="1" t="s">
        <v>3</v>
      </c>
      <c r="F21" s="1" t="s">
        <v>15</v>
      </c>
      <c r="G21" s="1" t="s">
        <v>6</v>
      </c>
      <c r="H21" s="1" t="s">
        <v>7</v>
      </c>
      <c r="I21" s="1" t="s">
        <v>8</v>
      </c>
      <c r="J21" s="1" t="s">
        <v>17</v>
      </c>
      <c r="K21" s="1" t="s">
        <v>18</v>
      </c>
      <c r="L21" s="1" t="s">
        <v>11</v>
      </c>
      <c r="M21" s="1" t="s">
        <v>12</v>
      </c>
    </row>
    <row r="22" spans="1:13" x14ac:dyDescent="0.35">
      <c r="A22" s="1" t="s">
        <v>13</v>
      </c>
      <c r="B22" s="1" t="s">
        <v>1</v>
      </c>
      <c r="C22" s="1" t="s">
        <v>25</v>
      </c>
      <c r="D22" s="1" t="s">
        <v>24</v>
      </c>
      <c r="E22" s="1" t="s">
        <v>24</v>
      </c>
      <c r="F22" s="1" t="s">
        <v>5</v>
      </c>
      <c r="G22" s="1" t="s">
        <v>26</v>
      </c>
      <c r="H22" s="1" t="s">
        <v>7</v>
      </c>
      <c r="I22" s="1" t="s">
        <v>8</v>
      </c>
      <c r="J22" s="1" t="s">
        <v>9</v>
      </c>
      <c r="K22" s="1" t="s">
        <v>18</v>
      </c>
      <c r="L22" s="1" t="s">
        <v>11</v>
      </c>
      <c r="M22" s="1" t="s">
        <v>12</v>
      </c>
    </row>
    <row r="23" spans="1:13" x14ac:dyDescent="0.35">
      <c r="A23" s="1" t="s">
        <v>13</v>
      </c>
      <c r="B23" s="1" t="s">
        <v>41</v>
      </c>
      <c r="C23" s="1" t="s">
        <v>38</v>
      </c>
      <c r="D23" s="1" t="s">
        <v>3</v>
      </c>
      <c r="E23" s="1" t="s">
        <v>3</v>
      </c>
      <c r="F23" s="1" t="s">
        <v>15</v>
      </c>
      <c r="G23" s="1" t="s">
        <v>22</v>
      </c>
      <c r="H23" s="1" t="s">
        <v>7</v>
      </c>
      <c r="I23" s="1" t="s">
        <v>8</v>
      </c>
      <c r="J23" s="1" t="s">
        <v>17</v>
      </c>
      <c r="K23" s="1" t="s">
        <v>18</v>
      </c>
      <c r="L23" s="1" t="s">
        <v>11</v>
      </c>
      <c r="M23" s="1" t="s">
        <v>12</v>
      </c>
    </row>
    <row r="24" spans="1:13" x14ac:dyDescent="0.35">
      <c r="A24" s="1" t="s">
        <v>0</v>
      </c>
      <c r="B24" s="1" t="s">
        <v>41</v>
      </c>
      <c r="C24" s="1" t="s">
        <v>2</v>
      </c>
      <c r="D24" s="1" t="s">
        <v>4</v>
      </c>
      <c r="E24" s="1" t="s">
        <v>4</v>
      </c>
      <c r="F24" s="1" t="s">
        <v>5</v>
      </c>
      <c r="G24" s="1" t="s">
        <v>6</v>
      </c>
      <c r="H24" s="1" t="s">
        <v>16</v>
      </c>
      <c r="I24" s="1" t="s">
        <v>8</v>
      </c>
      <c r="J24" s="1" t="s">
        <v>40</v>
      </c>
      <c r="K24" s="1" t="s">
        <v>18</v>
      </c>
      <c r="L24" s="1" t="s">
        <v>11</v>
      </c>
      <c r="M24" s="1" t="s">
        <v>12</v>
      </c>
    </row>
    <row r="25" spans="1:13" x14ac:dyDescent="0.35">
      <c r="A25" s="1" t="s">
        <v>13</v>
      </c>
      <c r="B25" s="1" t="s">
        <v>1</v>
      </c>
      <c r="C25" s="1" t="s">
        <v>2</v>
      </c>
      <c r="D25" s="1" t="s">
        <v>3</v>
      </c>
      <c r="E25" s="1" t="s">
        <v>3</v>
      </c>
      <c r="F25" s="1" t="s">
        <v>5</v>
      </c>
      <c r="G25" s="1" t="s">
        <v>6</v>
      </c>
      <c r="H25" s="1" t="s">
        <v>7</v>
      </c>
      <c r="I25" s="1" t="s">
        <v>8</v>
      </c>
      <c r="J25" s="1" t="s">
        <v>17</v>
      </c>
      <c r="K25" s="1" t="s">
        <v>18</v>
      </c>
      <c r="L25" s="1" t="s">
        <v>11</v>
      </c>
      <c r="M25" s="1" t="s">
        <v>12</v>
      </c>
    </row>
    <row r="26" spans="1:13" x14ac:dyDescent="0.35">
      <c r="A26" s="1" t="s">
        <v>13</v>
      </c>
      <c r="B26" s="1" t="s">
        <v>27</v>
      </c>
      <c r="C26" s="1" t="s">
        <v>2</v>
      </c>
      <c r="D26" s="1" t="s">
        <v>3</v>
      </c>
      <c r="E26" s="1" t="s">
        <v>3</v>
      </c>
      <c r="F26" s="1" t="s">
        <v>15</v>
      </c>
      <c r="G26" s="1" t="s">
        <v>6</v>
      </c>
      <c r="H26" s="1" t="s">
        <v>30</v>
      </c>
      <c r="I26" s="1" t="s">
        <v>8</v>
      </c>
      <c r="J26" s="1" t="s">
        <v>17</v>
      </c>
      <c r="K26" s="1" t="s">
        <v>18</v>
      </c>
      <c r="L26" s="1" t="s">
        <v>11</v>
      </c>
      <c r="M26" s="1" t="s">
        <v>12</v>
      </c>
    </row>
    <row r="27" spans="1:13" x14ac:dyDescent="0.35">
      <c r="A27" s="1" t="s">
        <v>0</v>
      </c>
      <c r="B27" s="1" t="s">
        <v>27</v>
      </c>
      <c r="C27" s="1" t="s">
        <v>2</v>
      </c>
      <c r="D27" s="1" t="s">
        <v>4</v>
      </c>
      <c r="E27" s="1" t="s">
        <v>4</v>
      </c>
      <c r="F27" s="1" t="s">
        <v>15</v>
      </c>
      <c r="G27" s="1" t="s">
        <v>26</v>
      </c>
      <c r="H27" s="1" t="s">
        <v>16</v>
      </c>
      <c r="I27" s="1" t="s">
        <v>8</v>
      </c>
      <c r="J27" s="1" t="s">
        <v>17</v>
      </c>
      <c r="K27" s="1" t="s">
        <v>18</v>
      </c>
      <c r="L27" s="1" t="s">
        <v>11</v>
      </c>
      <c r="M27" s="1" t="s">
        <v>12</v>
      </c>
    </row>
    <row r="28" spans="1:13" x14ac:dyDescent="0.35">
      <c r="A28" s="1" t="s">
        <v>13</v>
      </c>
      <c r="B28" s="1" t="s">
        <v>27</v>
      </c>
      <c r="C28" s="1" t="s">
        <v>25</v>
      </c>
      <c r="D28" s="1" t="s">
        <v>32</v>
      </c>
      <c r="E28" s="1" t="s">
        <v>32</v>
      </c>
      <c r="F28" s="1" t="s">
        <v>21</v>
      </c>
      <c r="G28" s="1" t="s">
        <v>22</v>
      </c>
      <c r="H28" s="1" t="s">
        <v>30</v>
      </c>
      <c r="I28" s="1" t="s">
        <v>8</v>
      </c>
      <c r="J28" s="1" t="s">
        <v>9</v>
      </c>
      <c r="K28" s="1" t="s">
        <v>10</v>
      </c>
      <c r="L28" s="1" t="s">
        <v>42</v>
      </c>
      <c r="M28" s="1" t="s">
        <v>12</v>
      </c>
    </row>
    <row r="29" spans="1:13" x14ac:dyDescent="0.35">
      <c r="A29" s="1" t="s">
        <v>13</v>
      </c>
      <c r="B29" s="1" t="s">
        <v>27</v>
      </c>
      <c r="C29" s="1" t="s">
        <v>38</v>
      </c>
      <c r="D29" s="1" t="s">
        <v>4</v>
      </c>
      <c r="E29" s="1" t="s">
        <v>3</v>
      </c>
      <c r="F29" s="1" t="s">
        <v>21</v>
      </c>
      <c r="G29" s="1" t="s">
        <v>22</v>
      </c>
      <c r="H29" s="1" t="s">
        <v>30</v>
      </c>
      <c r="I29" s="1" t="s">
        <v>8</v>
      </c>
      <c r="J29" s="1" t="s">
        <v>9</v>
      </c>
      <c r="K29" s="1" t="s">
        <v>18</v>
      </c>
      <c r="L29" s="1" t="s">
        <v>11</v>
      </c>
      <c r="M29" s="1" t="s">
        <v>12</v>
      </c>
    </row>
    <row r="30" spans="1:13" x14ac:dyDescent="0.35">
      <c r="A30" s="1" t="s">
        <v>13</v>
      </c>
      <c r="B30" s="1" t="s">
        <v>27</v>
      </c>
      <c r="C30" s="1" t="s">
        <v>25</v>
      </c>
      <c r="D30" s="1" t="s">
        <v>4</v>
      </c>
      <c r="E30" s="1" t="s">
        <v>3</v>
      </c>
      <c r="F30" s="1" t="s">
        <v>15</v>
      </c>
      <c r="G30" s="1" t="s">
        <v>26</v>
      </c>
      <c r="H30" s="1" t="s">
        <v>30</v>
      </c>
      <c r="I30" s="1" t="s">
        <v>8</v>
      </c>
      <c r="J30" s="1" t="s">
        <v>17</v>
      </c>
      <c r="K30" s="1" t="s">
        <v>18</v>
      </c>
      <c r="L30" s="1" t="s">
        <v>11</v>
      </c>
      <c r="M30" s="1" t="s">
        <v>12</v>
      </c>
    </row>
    <row r="31" spans="1:13" x14ac:dyDescent="0.35">
      <c r="A31" s="1" t="s">
        <v>13</v>
      </c>
      <c r="B31" s="1" t="s">
        <v>43</v>
      </c>
      <c r="C31" s="1" t="s">
        <v>2</v>
      </c>
      <c r="D31" s="1" t="s">
        <v>3</v>
      </c>
      <c r="E31" s="1" t="s">
        <v>32</v>
      </c>
      <c r="F31" s="1" t="s">
        <v>21</v>
      </c>
      <c r="G31" s="1" t="s">
        <v>26</v>
      </c>
      <c r="H31" s="1" t="s">
        <v>16</v>
      </c>
      <c r="I31" s="1" t="s">
        <v>8</v>
      </c>
      <c r="J31" s="1" t="s">
        <v>9</v>
      </c>
      <c r="K31" s="1" t="s">
        <v>18</v>
      </c>
      <c r="L31" s="1" t="s">
        <v>11</v>
      </c>
      <c r="M31" s="1" t="s">
        <v>12</v>
      </c>
    </row>
    <row r="32" spans="1:13" x14ac:dyDescent="0.35">
      <c r="A32" s="1" t="s">
        <v>13</v>
      </c>
      <c r="B32" s="1" t="s">
        <v>14</v>
      </c>
      <c r="C32" s="1" t="s">
        <v>2</v>
      </c>
      <c r="D32" s="1" t="s">
        <v>3</v>
      </c>
      <c r="E32" s="1" t="s">
        <v>4</v>
      </c>
      <c r="F32" s="1" t="s">
        <v>21</v>
      </c>
      <c r="G32" s="1" t="s">
        <v>6</v>
      </c>
      <c r="H32" s="1" t="s">
        <v>30</v>
      </c>
      <c r="I32" s="1" t="s">
        <v>8</v>
      </c>
      <c r="J32" s="1" t="s">
        <v>17</v>
      </c>
      <c r="K32" s="1" t="s">
        <v>18</v>
      </c>
      <c r="L32" s="1" t="s">
        <v>11</v>
      </c>
      <c r="M32" s="1" t="s">
        <v>12</v>
      </c>
    </row>
    <row r="33" spans="1:13" x14ac:dyDescent="0.35">
      <c r="A33" s="1" t="s">
        <v>13</v>
      </c>
      <c r="B33" s="1" t="s">
        <v>43</v>
      </c>
      <c r="C33" s="1" t="s">
        <v>2</v>
      </c>
      <c r="D33" s="1" t="s">
        <v>3</v>
      </c>
      <c r="E33" s="1" t="s">
        <v>3</v>
      </c>
      <c r="F33" s="1" t="s">
        <v>21</v>
      </c>
      <c r="G33" s="1" t="s">
        <v>26</v>
      </c>
      <c r="H33" s="1" t="s">
        <v>16</v>
      </c>
      <c r="I33" s="1" t="s">
        <v>8</v>
      </c>
      <c r="J33" s="1" t="s">
        <v>9</v>
      </c>
      <c r="K33" s="1" t="s">
        <v>18</v>
      </c>
      <c r="L33" s="1" t="s">
        <v>11</v>
      </c>
      <c r="M33" s="1" t="s">
        <v>12</v>
      </c>
    </row>
    <row r="34" spans="1:13" x14ac:dyDescent="0.35">
      <c r="A34" s="1" t="s">
        <v>13</v>
      </c>
      <c r="B34" s="1" t="s">
        <v>43</v>
      </c>
      <c r="C34" s="1" t="s">
        <v>2</v>
      </c>
      <c r="D34" s="1" t="s">
        <v>24</v>
      </c>
      <c r="E34" s="1" t="s">
        <v>3</v>
      </c>
      <c r="F34" s="1" t="s">
        <v>5</v>
      </c>
      <c r="G34" s="1" t="s">
        <v>6</v>
      </c>
      <c r="H34" s="1" t="s">
        <v>16</v>
      </c>
      <c r="I34" s="1" t="s">
        <v>8</v>
      </c>
      <c r="J34" s="1" t="s">
        <v>9</v>
      </c>
      <c r="K34" s="1" t="s">
        <v>18</v>
      </c>
      <c r="L34" s="1" t="s">
        <v>11</v>
      </c>
      <c r="M34" s="1" t="s">
        <v>12</v>
      </c>
    </row>
    <row r="35" spans="1:13" x14ac:dyDescent="0.35">
      <c r="A35" s="1" t="s">
        <v>13</v>
      </c>
      <c r="B35" s="1" t="s">
        <v>1</v>
      </c>
      <c r="C35" s="1" t="s">
        <v>25</v>
      </c>
      <c r="D35" s="1" t="s">
        <v>3</v>
      </c>
      <c r="E35" s="1" t="s">
        <v>3</v>
      </c>
      <c r="F35" s="1" t="s">
        <v>15</v>
      </c>
      <c r="G35" s="1" t="s">
        <v>6</v>
      </c>
      <c r="H35" s="1" t="s">
        <v>7</v>
      </c>
      <c r="I35" s="1" t="s">
        <v>8</v>
      </c>
      <c r="J35" s="1" t="s">
        <v>17</v>
      </c>
      <c r="K35" s="1" t="s">
        <v>18</v>
      </c>
      <c r="L35" s="1" t="s">
        <v>11</v>
      </c>
      <c r="M35" s="1" t="s">
        <v>12</v>
      </c>
    </row>
    <row r="36" spans="1:13" x14ac:dyDescent="0.35">
      <c r="A36" s="1" t="s">
        <v>0</v>
      </c>
      <c r="B36" s="1" t="s">
        <v>1</v>
      </c>
      <c r="C36" s="1" t="s">
        <v>25</v>
      </c>
      <c r="D36" s="1" t="s">
        <v>3</v>
      </c>
      <c r="E36" s="1" t="s">
        <v>20</v>
      </c>
      <c r="F36" s="1" t="s">
        <v>15</v>
      </c>
      <c r="G36" s="1" t="s">
        <v>26</v>
      </c>
      <c r="H36" s="1" t="s">
        <v>16</v>
      </c>
      <c r="I36" s="1" t="s">
        <v>8</v>
      </c>
      <c r="J36" s="1" t="s">
        <v>9</v>
      </c>
      <c r="K36" s="1" t="s">
        <v>18</v>
      </c>
      <c r="L36" s="1" t="s">
        <v>11</v>
      </c>
      <c r="M36" s="1" t="s">
        <v>12</v>
      </c>
    </row>
    <row r="37" spans="1:13" x14ac:dyDescent="0.35">
      <c r="A37" s="1" t="s">
        <v>13</v>
      </c>
      <c r="B37" s="1" t="s">
        <v>27</v>
      </c>
      <c r="C37" s="1" t="s">
        <v>2</v>
      </c>
      <c r="D37" s="1" t="s">
        <v>24</v>
      </c>
      <c r="E37" s="1" t="s">
        <v>24</v>
      </c>
      <c r="F37" s="1" t="s">
        <v>15</v>
      </c>
      <c r="G37" s="1" t="s">
        <v>6</v>
      </c>
      <c r="H37" s="1" t="s">
        <v>16</v>
      </c>
      <c r="I37" s="1" t="s">
        <v>8</v>
      </c>
      <c r="J37" s="1" t="s">
        <v>9</v>
      </c>
      <c r="K37" s="1" t="s">
        <v>18</v>
      </c>
      <c r="L37" s="1" t="s">
        <v>11</v>
      </c>
      <c r="M37" s="1" t="s">
        <v>12</v>
      </c>
    </row>
    <row r="38" spans="1:13" x14ac:dyDescent="0.35">
      <c r="A38" s="1" t="s">
        <v>13</v>
      </c>
      <c r="B38" s="1" t="s">
        <v>27</v>
      </c>
      <c r="C38" s="1" t="s">
        <v>25</v>
      </c>
      <c r="D38" s="1" t="s">
        <v>4</v>
      </c>
      <c r="E38" s="1" t="s">
        <v>4</v>
      </c>
      <c r="F38" s="1" t="s">
        <v>15</v>
      </c>
      <c r="G38" s="1" t="s">
        <v>22</v>
      </c>
      <c r="H38" s="1" t="s">
        <v>7</v>
      </c>
      <c r="I38" s="1" t="s">
        <v>8</v>
      </c>
      <c r="J38" s="1" t="s">
        <v>9</v>
      </c>
      <c r="K38" s="1" t="s">
        <v>18</v>
      </c>
      <c r="L38" s="1" t="s">
        <v>11</v>
      </c>
      <c r="M38" s="1" t="s">
        <v>12</v>
      </c>
    </row>
    <row r="39" spans="1:13" x14ac:dyDescent="0.35">
      <c r="A39" s="1" t="s">
        <v>13</v>
      </c>
      <c r="B39" s="1" t="s">
        <v>27</v>
      </c>
      <c r="C39" s="1" t="s">
        <v>25</v>
      </c>
      <c r="D39" s="1" t="s">
        <v>32</v>
      </c>
      <c r="E39" s="1" t="s">
        <v>32</v>
      </c>
      <c r="F39" s="1" t="s">
        <v>15</v>
      </c>
      <c r="G39" s="1" t="s">
        <v>22</v>
      </c>
      <c r="H39" s="1" t="s">
        <v>30</v>
      </c>
      <c r="I39" s="1" t="s">
        <v>8</v>
      </c>
      <c r="J39" s="1" t="s">
        <v>17</v>
      </c>
      <c r="K39" s="1" t="s">
        <v>18</v>
      </c>
      <c r="L39" s="1" t="s">
        <v>11</v>
      </c>
      <c r="M39" s="1" t="s">
        <v>12</v>
      </c>
    </row>
    <row r="40" spans="1:13" x14ac:dyDescent="0.35">
      <c r="A40" s="1" t="s">
        <v>13</v>
      </c>
      <c r="B40" s="1" t="s">
        <v>41</v>
      </c>
      <c r="C40" s="1" t="s">
        <v>2</v>
      </c>
      <c r="D40" s="1" t="s">
        <v>3</v>
      </c>
      <c r="E40" s="1" t="s">
        <v>4</v>
      </c>
      <c r="F40" s="1" t="s">
        <v>15</v>
      </c>
      <c r="G40" s="1" t="s">
        <v>6</v>
      </c>
      <c r="H40" s="1" t="s">
        <v>16</v>
      </c>
      <c r="I40" s="1" t="s">
        <v>8</v>
      </c>
      <c r="J40" s="1" t="s">
        <v>17</v>
      </c>
      <c r="K40" s="1" t="s">
        <v>18</v>
      </c>
      <c r="L40" s="1" t="s">
        <v>11</v>
      </c>
      <c r="M40" s="1" t="s">
        <v>12</v>
      </c>
    </row>
    <row r="41" spans="1:13" x14ac:dyDescent="0.35">
      <c r="A41" s="1" t="s">
        <v>0</v>
      </c>
      <c r="B41" s="1" t="s">
        <v>27</v>
      </c>
      <c r="C41" s="1" t="s">
        <v>25</v>
      </c>
      <c r="D41" s="1" t="s">
        <v>4</v>
      </c>
      <c r="E41" s="1" t="s">
        <v>4</v>
      </c>
      <c r="F41" s="1" t="s">
        <v>29</v>
      </c>
      <c r="G41" s="1" t="s">
        <v>6</v>
      </c>
      <c r="H41" s="1" t="s">
        <v>39</v>
      </c>
      <c r="I41" s="1" t="s">
        <v>8</v>
      </c>
      <c r="J41" s="1" t="s">
        <v>9</v>
      </c>
      <c r="K41" s="1" t="s">
        <v>18</v>
      </c>
      <c r="L41" s="1" t="s">
        <v>31</v>
      </c>
      <c r="M41" s="1" t="s">
        <v>12</v>
      </c>
    </row>
    <row r="42" spans="1:13" x14ac:dyDescent="0.35">
      <c r="A42" s="1" t="s">
        <v>13</v>
      </c>
      <c r="B42" s="1" t="s">
        <v>41</v>
      </c>
      <c r="C42" s="1" t="s">
        <v>38</v>
      </c>
      <c r="D42" s="1" t="s">
        <v>3</v>
      </c>
      <c r="E42" s="1" t="s">
        <v>3</v>
      </c>
      <c r="F42" s="1" t="s">
        <v>21</v>
      </c>
      <c r="G42" s="1" t="s">
        <v>26</v>
      </c>
      <c r="H42" s="1" t="s">
        <v>30</v>
      </c>
      <c r="I42" s="1" t="s">
        <v>8</v>
      </c>
      <c r="J42" s="1" t="s">
        <v>40</v>
      </c>
      <c r="K42" s="1" t="s">
        <v>18</v>
      </c>
      <c r="L42" s="1" t="s">
        <v>42</v>
      </c>
      <c r="M42" s="1" t="s">
        <v>35</v>
      </c>
    </row>
    <row r="43" spans="1:13" x14ac:dyDescent="0.35">
      <c r="A43" s="1" t="s">
        <v>0</v>
      </c>
      <c r="B43" s="1" t="s">
        <v>27</v>
      </c>
      <c r="C43" s="1" t="s">
        <v>38</v>
      </c>
      <c r="D43" s="1" t="s">
        <v>3</v>
      </c>
      <c r="E43" s="1" t="s">
        <v>3</v>
      </c>
      <c r="F43" s="1" t="s">
        <v>15</v>
      </c>
      <c r="G43" s="1" t="s">
        <v>37</v>
      </c>
      <c r="H43" s="1" t="s">
        <v>16</v>
      </c>
      <c r="I43" s="1" t="s">
        <v>8</v>
      </c>
      <c r="J43" s="1" t="s">
        <v>9</v>
      </c>
      <c r="K43" s="1" t="s">
        <v>18</v>
      </c>
      <c r="L43" s="1" t="s">
        <v>11</v>
      </c>
      <c r="M43" s="1" t="s">
        <v>12</v>
      </c>
    </row>
    <row r="44" spans="1:13" x14ac:dyDescent="0.35">
      <c r="A44" s="1" t="s">
        <v>13</v>
      </c>
      <c r="B44" s="1" t="s">
        <v>27</v>
      </c>
      <c r="C44" s="1" t="s">
        <v>38</v>
      </c>
      <c r="D44" s="1" t="s">
        <v>3</v>
      </c>
      <c r="E44" s="1" t="s">
        <v>3</v>
      </c>
      <c r="F44" s="1" t="s">
        <v>15</v>
      </c>
      <c r="G44" s="1" t="s">
        <v>37</v>
      </c>
      <c r="H44" s="1" t="s">
        <v>7</v>
      </c>
      <c r="I44" s="1" t="s">
        <v>8</v>
      </c>
      <c r="J44" s="1" t="s">
        <v>17</v>
      </c>
      <c r="K44" s="1" t="s">
        <v>18</v>
      </c>
      <c r="L44" s="1" t="s">
        <v>11</v>
      </c>
      <c r="M44" s="1" t="s">
        <v>12</v>
      </c>
    </row>
    <row r="45" spans="1:13" x14ac:dyDescent="0.35">
      <c r="A45" s="1" t="s">
        <v>0</v>
      </c>
      <c r="B45" s="1" t="s">
        <v>41</v>
      </c>
      <c r="C45" s="1" t="s">
        <v>23</v>
      </c>
      <c r="D45" s="1" t="s">
        <v>4</v>
      </c>
      <c r="E45" s="1" t="s">
        <v>4</v>
      </c>
      <c r="F45" s="1" t="s">
        <v>29</v>
      </c>
      <c r="G45" s="1" t="s">
        <v>6</v>
      </c>
      <c r="H45" s="1" t="s">
        <v>7</v>
      </c>
      <c r="I45" s="1" t="s">
        <v>8</v>
      </c>
      <c r="J45" s="1" t="s">
        <v>9</v>
      </c>
      <c r="K45" s="1" t="s">
        <v>18</v>
      </c>
      <c r="L45" s="1" t="s">
        <v>11</v>
      </c>
      <c r="M45" s="1" t="s">
        <v>12</v>
      </c>
    </row>
    <row r="46" spans="1:13" x14ac:dyDescent="0.35">
      <c r="A46" s="1" t="s">
        <v>0</v>
      </c>
      <c r="B46" s="1" t="s">
        <v>41</v>
      </c>
      <c r="C46" s="1" t="s">
        <v>2</v>
      </c>
      <c r="D46" s="1" t="s">
        <v>3</v>
      </c>
      <c r="E46" s="1" t="s">
        <v>3</v>
      </c>
      <c r="F46" s="1" t="s">
        <v>5</v>
      </c>
      <c r="G46" s="1" t="s">
        <v>37</v>
      </c>
      <c r="H46" s="1" t="s">
        <v>33</v>
      </c>
      <c r="I46" s="1" t="s">
        <v>8</v>
      </c>
      <c r="J46" s="1" t="s">
        <v>9</v>
      </c>
      <c r="K46" s="1" t="s">
        <v>18</v>
      </c>
      <c r="L46" s="1" t="s">
        <v>11</v>
      </c>
      <c r="M46" s="1" t="s">
        <v>12</v>
      </c>
    </row>
    <row r="47" spans="1:13" x14ac:dyDescent="0.35">
      <c r="A47" s="1" t="s">
        <v>0</v>
      </c>
      <c r="B47" s="1" t="s">
        <v>41</v>
      </c>
      <c r="C47" s="1" t="s">
        <v>2</v>
      </c>
      <c r="D47" s="1" t="s">
        <v>32</v>
      </c>
      <c r="E47" s="1" t="s">
        <v>32</v>
      </c>
      <c r="F47" s="1" t="s">
        <v>5</v>
      </c>
      <c r="G47" s="1" t="s">
        <v>37</v>
      </c>
      <c r="H47" s="1" t="s">
        <v>44</v>
      </c>
      <c r="I47" s="1" t="s">
        <v>8</v>
      </c>
      <c r="J47" s="1" t="s">
        <v>9</v>
      </c>
      <c r="K47" s="1" t="s">
        <v>18</v>
      </c>
      <c r="L47" s="1" t="s">
        <v>36</v>
      </c>
      <c r="M47" s="1" t="s">
        <v>12</v>
      </c>
    </row>
    <row r="48" spans="1:13" x14ac:dyDescent="0.35">
      <c r="A48" s="1" t="s">
        <v>13</v>
      </c>
      <c r="B48" s="1" t="s">
        <v>27</v>
      </c>
      <c r="C48" s="1" t="s">
        <v>2</v>
      </c>
      <c r="D48" s="1" t="s">
        <v>32</v>
      </c>
      <c r="E48" s="1" t="s">
        <v>32</v>
      </c>
      <c r="F48" s="1" t="s">
        <v>5</v>
      </c>
      <c r="G48" s="1" t="s">
        <v>45</v>
      </c>
      <c r="H48" s="1" t="s">
        <v>30</v>
      </c>
      <c r="I48" s="1" t="s">
        <v>8</v>
      </c>
      <c r="J48" s="1" t="s">
        <v>17</v>
      </c>
      <c r="K48" s="1" t="s">
        <v>18</v>
      </c>
      <c r="L48" s="1" t="s">
        <v>36</v>
      </c>
      <c r="M48" s="1" t="s">
        <v>12</v>
      </c>
    </row>
    <row r="49" spans="1:13" x14ac:dyDescent="0.35">
      <c r="A49" s="1" t="s">
        <v>13</v>
      </c>
      <c r="B49" s="1" t="s">
        <v>27</v>
      </c>
      <c r="C49" s="1" t="s">
        <v>2</v>
      </c>
      <c r="D49" s="1" t="s">
        <v>32</v>
      </c>
      <c r="E49" s="1" t="s">
        <v>3</v>
      </c>
      <c r="F49" s="1" t="s">
        <v>29</v>
      </c>
      <c r="G49" s="1" t="s">
        <v>6</v>
      </c>
      <c r="H49" s="1" t="s">
        <v>30</v>
      </c>
      <c r="I49" s="1" t="s">
        <v>8</v>
      </c>
      <c r="J49" s="1" t="s">
        <v>9</v>
      </c>
      <c r="K49" s="1" t="s">
        <v>18</v>
      </c>
      <c r="L49" s="1" t="s">
        <v>11</v>
      </c>
      <c r="M49" s="1" t="s">
        <v>12</v>
      </c>
    </row>
    <row r="50" spans="1:13" x14ac:dyDescent="0.35">
      <c r="A50" s="1" t="s">
        <v>0</v>
      </c>
      <c r="B50" s="1" t="s">
        <v>1</v>
      </c>
      <c r="C50" s="1" t="s">
        <v>25</v>
      </c>
      <c r="D50" s="1" t="s">
        <v>3</v>
      </c>
      <c r="E50" s="1" t="s">
        <v>3</v>
      </c>
      <c r="F50" s="1" t="s">
        <v>15</v>
      </c>
      <c r="G50" s="1" t="s">
        <v>22</v>
      </c>
      <c r="H50" s="1" t="s">
        <v>16</v>
      </c>
      <c r="I50" s="1" t="s">
        <v>34</v>
      </c>
      <c r="J50" s="1" t="s">
        <v>9</v>
      </c>
      <c r="K50" s="1" t="s">
        <v>18</v>
      </c>
      <c r="L50" s="1" t="s">
        <v>11</v>
      </c>
      <c r="M50" s="1" t="s">
        <v>12</v>
      </c>
    </row>
    <row r="51" spans="1:13" x14ac:dyDescent="0.35">
      <c r="I51">
        <f>COUNTIF(I2:I50,TEXT(Ya,TRUE))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5C543-53F9-4058-8647-7585D0921955}">
  <dimension ref="A1:C14"/>
  <sheetViews>
    <sheetView tabSelected="1" workbookViewId="0">
      <selection activeCell="B11" sqref="B11"/>
    </sheetView>
  </sheetViews>
  <sheetFormatPr defaultRowHeight="14.5" x14ac:dyDescent="0.35"/>
  <cols>
    <col min="2" max="2" width="10.453125" bestFit="1" customWidth="1"/>
    <col min="3" max="3" width="19.54296875" bestFit="1" customWidth="1"/>
  </cols>
  <sheetData>
    <row r="1" spans="1:3" x14ac:dyDescent="0.35">
      <c r="B1" t="s">
        <v>65</v>
      </c>
      <c r="C1" t="s">
        <v>66</v>
      </c>
    </row>
    <row r="2" spans="1:3" x14ac:dyDescent="0.35">
      <c r="A2" s="3">
        <v>1</v>
      </c>
      <c r="B2" s="3" t="s">
        <v>79</v>
      </c>
      <c r="C2" s="4">
        <v>0.61520047875523598</v>
      </c>
    </row>
    <row r="3" spans="1:3" x14ac:dyDescent="0.35">
      <c r="A3" s="3">
        <v>1</v>
      </c>
      <c r="B3" s="3" t="s">
        <v>60</v>
      </c>
      <c r="C3" s="4">
        <v>0.44464392579293799</v>
      </c>
    </row>
    <row r="4" spans="1:3" x14ac:dyDescent="0.35">
      <c r="A4" s="3">
        <v>1</v>
      </c>
      <c r="B4" s="3" t="s">
        <v>81</v>
      </c>
      <c r="C4" s="4">
        <v>0.40993417115499697</v>
      </c>
    </row>
    <row r="5" spans="1:3" x14ac:dyDescent="0.35">
      <c r="A5" s="3">
        <v>1</v>
      </c>
      <c r="B5" s="3" t="s">
        <v>77</v>
      </c>
      <c r="C5" s="4">
        <v>0.49072411729503201</v>
      </c>
    </row>
    <row r="6" spans="1:3" x14ac:dyDescent="0.35">
      <c r="A6">
        <v>1</v>
      </c>
      <c r="B6" t="s">
        <v>15</v>
      </c>
      <c r="C6" s="4">
        <v>0.38061041292639097</v>
      </c>
    </row>
    <row r="7" spans="1:3" x14ac:dyDescent="0.35">
      <c r="A7">
        <v>1</v>
      </c>
      <c r="B7" t="s">
        <v>78</v>
      </c>
      <c r="C7" s="4">
        <v>0.73189706762417694</v>
      </c>
    </row>
    <row r="8" spans="1:3" x14ac:dyDescent="0.35">
      <c r="A8" s="3">
        <v>1</v>
      </c>
      <c r="B8" s="3" t="s">
        <v>82</v>
      </c>
      <c r="C8" s="4">
        <v>0.26690604428485898</v>
      </c>
    </row>
    <row r="9" spans="1:3" x14ac:dyDescent="0.35">
      <c r="A9" s="3">
        <v>1</v>
      </c>
      <c r="B9" s="3" t="s">
        <v>7</v>
      </c>
      <c r="C9" s="4">
        <v>0.15499700777977199</v>
      </c>
    </row>
    <row r="10" spans="1:3" x14ac:dyDescent="0.35">
      <c r="A10" s="3">
        <v>1</v>
      </c>
      <c r="B10" s="3" t="s">
        <v>80</v>
      </c>
      <c r="C10" s="4">
        <v>0.651705565529623</v>
      </c>
    </row>
    <row r="11" spans="1:3" x14ac:dyDescent="0.35">
      <c r="A11" s="3">
        <v>1</v>
      </c>
      <c r="B11" s="3" t="s">
        <v>83</v>
      </c>
      <c r="C11" s="4">
        <v>0.57809694793536803</v>
      </c>
    </row>
    <row r="12" spans="1:3" x14ac:dyDescent="0.35">
      <c r="A12" s="3">
        <v>1</v>
      </c>
      <c r="B12" s="3" t="s">
        <v>62</v>
      </c>
      <c r="C12" s="4">
        <v>0.89168162776780302</v>
      </c>
    </row>
    <row r="13" spans="1:3" x14ac:dyDescent="0.35">
      <c r="A13" s="3">
        <v>1</v>
      </c>
      <c r="B13" s="3" t="s">
        <v>11</v>
      </c>
      <c r="C13" s="4">
        <v>0.56912028725314101</v>
      </c>
    </row>
    <row r="14" spans="1:3" x14ac:dyDescent="0.35">
      <c r="A14" s="3">
        <v>1</v>
      </c>
      <c r="B14" s="3" t="s">
        <v>76</v>
      </c>
      <c r="C14" s="4">
        <v>0.61699581089168098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7DC35-B829-4E2B-8A02-86F33CFBFA1A}">
  <dimension ref="A2:D12"/>
  <sheetViews>
    <sheetView workbookViewId="0">
      <selection activeCell="A9" sqref="A9:C11"/>
    </sheetView>
  </sheetViews>
  <sheetFormatPr defaultRowHeight="14.5" x14ac:dyDescent="0.35"/>
  <cols>
    <col min="2" max="2" width="42.36328125" bestFit="1" customWidth="1"/>
    <col min="4" max="4" width="20.54296875" bestFit="1" customWidth="1"/>
  </cols>
  <sheetData>
    <row r="2" spans="1:4" x14ac:dyDescent="0.35">
      <c r="A2" s="2">
        <v>1</v>
      </c>
      <c r="B2" s="3" t="s">
        <v>27</v>
      </c>
      <c r="C2" s="2">
        <v>19</v>
      </c>
      <c r="D2" s="4">
        <v>0.38775510204081598</v>
      </c>
    </row>
    <row r="3" spans="1:4" x14ac:dyDescent="0.35">
      <c r="A3" s="3">
        <v>2</v>
      </c>
      <c r="B3" s="3" t="s">
        <v>1</v>
      </c>
      <c r="C3" s="3">
        <v>14</v>
      </c>
      <c r="D3" s="4">
        <v>0.28571428571428498</v>
      </c>
    </row>
    <row r="4" spans="1:4" x14ac:dyDescent="0.35">
      <c r="A4" s="3">
        <v>3</v>
      </c>
      <c r="B4" s="3" t="s">
        <v>41</v>
      </c>
      <c r="C4" s="3">
        <v>9</v>
      </c>
      <c r="D4" s="4">
        <v>0.183673469387755</v>
      </c>
    </row>
    <row r="5" spans="1:4" x14ac:dyDescent="0.35">
      <c r="A5" s="3">
        <v>4</v>
      </c>
      <c r="B5" s="3" t="s">
        <v>43</v>
      </c>
      <c r="C5" s="3">
        <v>3</v>
      </c>
      <c r="D5" s="4">
        <v>6.1224489795918297E-2</v>
      </c>
    </row>
    <row r="6" spans="1:4" x14ac:dyDescent="0.35">
      <c r="A6" s="3">
        <v>5</v>
      </c>
      <c r="B6" s="3" t="s">
        <v>19</v>
      </c>
      <c r="C6" s="3">
        <v>2</v>
      </c>
      <c r="D6" s="4">
        <v>4.08163265306122E-2</v>
      </c>
    </row>
    <row r="7" spans="1:4" x14ac:dyDescent="0.35">
      <c r="A7" s="3">
        <v>6</v>
      </c>
      <c r="B7" s="3" t="s">
        <v>14</v>
      </c>
      <c r="C7" s="3">
        <v>2</v>
      </c>
      <c r="D7" s="4">
        <v>4.08163265306122E-2</v>
      </c>
    </row>
    <row r="9" spans="1:4" x14ac:dyDescent="0.35">
      <c r="A9" s="3">
        <v>1</v>
      </c>
      <c r="B9" s="3" t="s">
        <v>59</v>
      </c>
      <c r="C9" s="5">
        <f>D6+D2</f>
        <v>0.42857142857142816</v>
      </c>
    </row>
    <row r="10" spans="1:4" x14ac:dyDescent="0.35">
      <c r="A10" s="3">
        <v>2</v>
      </c>
      <c r="B10" s="3" t="s">
        <v>60</v>
      </c>
      <c r="C10" s="5">
        <f>D3+D4</f>
        <v>0.46938775510204001</v>
      </c>
    </row>
    <row r="11" spans="1:4" x14ac:dyDescent="0.35">
      <c r="A11" s="3">
        <v>3</v>
      </c>
      <c r="B11" s="3" t="s">
        <v>61</v>
      </c>
      <c r="C11" s="5">
        <f>D7+D5</f>
        <v>0.1020408163265305</v>
      </c>
    </row>
    <row r="12" spans="1:4" x14ac:dyDescent="0.35">
      <c r="A12" s="3"/>
      <c r="B1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07D3B-83DA-4EE1-AE81-52CCC2A0CEC5}">
  <dimension ref="A2:C6"/>
  <sheetViews>
    <sheetView workbookViewId="0">
      <selection activeCell="A2" sqref="A2:C6"/>
    </sheetView>
  </sheetViews>
  <sheetFormatPr defaultRowHeight="14.5" x14ac:dyDescent="0.35"/>
  <cols>
    <col min="2" max="2" width="65.1796875" bestFit="1" customWidth="1"/>
    <col min="3" max="3" width="19.54296875" bestFit="1" customWidth="1"/>
  </cols>
  <sheetData>
    <row r="2" spans="1:3" x14ac:dyDescent="0.35">
      <c r="A2" s="3">
        <v>1</v>
      </c>
      <c r="B2" s="3" t="s">
        <v>2</v>
      </c>
      <c r="C2" s="4">
        <v>0.44897959183673403</v>
      </c>
    </row>
    <row r="3" spans="1:3" x14ac:dyDescent="0.35">
      <c r="A3" s="3">
        <v>2</v>
      </c>
      <c r="B3" s="3" t="s">
        <v>25</v>
      </c>
      <c r="C3" s="4">
        <v>0.34693877551020402</v>
      </c>
    </row>
    <row r="4" spans="1:3" x14ac:dyDescent="0.35">
      <c r="A4" s="3">
        <v>3</v>
      </c>
      <c r="B4" s="3" t="s">
        <v>38</v>
      </c>
      <c r="C4" s="4">
        <v>0.122448979591836</v>
      </c>
    </row>
    <row r="5" spans="1:3" x14ac:dyDescent="0.35">
      <c r="A5" s="3">
        <v>4</v>
      </c>
      <c r="B5" s="3" t="s">
        <v>23</v>
      </c>
      <c r="C5" s="4">
        <v>4.08163265306122E-2</v>
      </c>
    </row>
    <row r="6" spans="1:3" x14ac:dyDescent="0.35">
      <c r="A6" s="3">
        <v>5</v>
      </c>
      <c r="B6" s="3" t="s">
        <v>28</v>
      </c>
      <c r="C6" s="4">
        <v>4.08163265306122E-2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24DE7-5427-4229-948B-FB81163DD471}">
  <dimension ref="A2:C5"/>
  <sheetViews>
    <sheetView workbookViewId="0">
      <selection activeCell="A2" sqref="A2:C5"/>
    </sheetView>
  </sheetViews>
  <sheetFormatPr defaultRowHeight="14.5" x14ac:dyDescent="0.35"/>
  <cols>
    <col min="2" max="2" width="40.6328125" bestFit="1" customWidth="1"/>
  </cols>
  <sheetData>
    <row r="2" spans="1:3" x14ac:dyDescent="0.35">
      <c r="A2" s="3">
        <v>1</v>
      </c>
      <c r="B2" s="3" t="s">
        <v>67</v>
      </c>
      <c r="C2" s="4">
        <v>0.48979591836734598</v>
      </c>
    </row>
    <row r="3" spans="1:3" x14ac:dyDescent="0.35">
      <c r="A3" s="3">
        <v>2</v>
      </c>
      <c r="B3" s="3" t="s">
        <v>68</v>
      </c>
      <c r="C3" s="4">
        <v>0.24489795918367299</v>
      </c>
    </row>
    <row r="4" spans="1:3" x14ac:dyDescent="0.35">
      <c r="A4" s="3">
        <v>3</v>
      </c>
      <c r="B4" s="3" t="s">
        <v>69</v>
      </c>
      <c r="C4" s="4">
        <v>0.14285714285714199</v>
      </c>
    </row>
    <row r="5" spans="1:3" x14ac:dyDescent="0.35">
      <c r="A5" s="3">
        <v>4</v>
      </c>
      <c r="B5" s="3" t="s">
        <v>70</v>
      </c>
      <c r="C5" s="4">
        <v>0.122448979591836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F307A-3160-44F6-82BA-EF3B624DAD21}">
  <dimension ref="A2:C6"/>
  <sheetViews>
    <sheetView workbookViewId="0">
      <selection activeCell="A2" sqref="A2:C6"/>
    </sheetView>
  </sheetViews>
  <sheetFormatPr defaultRowHeight="14.5" x14ac:dyDescent="0.35"/>
  <cols>
    <col min="2" max="2" width="40.6328125" bestFit="1" customWidth="1"/>
  </cols>
  <sheetData>
    <row r="2" spans="1:3" x14ac:dyDescent="0.35">
      <c r="A2" s="3">
        <v>1</v>
      </c>
      <c r="B2" s="3" t="s">
        <v>71</v>
      </c>
      <c r="C2" s="4">
        <v>0.42857142857142799</v>
      </c>
    </row>
    <row r="3" spans="1:3" x14ac:dyDescent="0.35">
      <c r="A3" s="3">
        <v>2</v>
      </c>
      <c r="B3" s="3" t="s">
        <v>72</v>
      </c>
      <c r="C3" s="4">
        <v>0.265306122448979</v>
      </c>
    </row>
    <row r="4" spans="1:3" x14ac:dyDescent="0.35">
      <c r="A4" s="3">
        <v>3</v>
      </c>
      <c r="B4" s="3" t="s">
        <v>73</v>
      </c>
      <c r="C4" s="4">
        <v>0.163265306122448</v>
      </c>
    </row>
    <row r="5" spans="1:3" x14ac:dyDescent="0.35">
      <c r="A5" s="3">
        <v>4</v>
      </c>
      <c r="B5" s="3" t="s">
        <v>74</v>
      </c>
      <c r="C5" s="4">
        <v>8.16326530612244E-2</v>
      </c>
    </row>
    <row r="6" spans="1:3" x14ac:dyDescent="0.35">
      <c r="A6" s="3">
        <v>5</v>
      </c>
      <c r="B6" s="3" t="s">
        <v>75</v>
      </c>
      <c r="C6" s="4">
        <v>6.1224489795918297E-2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53620-1DBD-4658-962E-CD928555C7EE}">
  <dimension ref="A2:C5"/>
  <sheetViews>
    <sheetView workbookViewId="0">
      <selection activeCell="A2" sqref="A2:C5"/>
    </sheetView>
  </sheetViews>
  <sheetFormatPr defaultRowHeight="14.5" x14ac:dyDescent="0.35"/>
  <cols>
    <col min="2" max="2" width="14.7265625" bestFit="1" customWidth="1"/>
  </cols>
  <sheetData>
    <row r="2" spans="1:3" x14ac:dyDescent="0.35">
      <c r="A2" s="3">
        <v>1</v>
      </c>
      <c r="B2" s="3" t="s">
        <v>15</v>
      </c>
      <c r="C2" s="4">
        <v>0.44897959183673403</v>
      </c>
    </row>
    <row r="3" spans="1:3" x14ac:dyDescent="0.35">
      <c r="A3" s="3">
        <v>2</v>
      </c>
      <c r="B3" s="3" t="s">
        <v>5</v>
      </c>
      <c r="C3" s="4">
        <v>0.22448979591836701</v>
      </c>
    </row>
    <row r="4" spans="1:3" x14ac:dyDescent="0.35">
      <c r="A4" s="3">
        <v>3</v>
      </c>
      <c r="B4" s="3" t="s">
        <v>21</v>
      </c>
      <c r="C4" s="4">
        <v>0.20408163265306101</v>
      </c>
    </row>
    <row r="5" spans="1:3" x14ac:dyDescent="0.35">
      <c r="A5" s="3">
        <v>4</v>
      </c>
      <c r="B5" s="3" t="s">
        <v>29</v>
      </c>
      <c r="C5" s="4">
        <v>0.122448979591836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45EF7-EA78-4C10-89D1-78861A9F3A73}">
  <dimension ref="A2:C3"/>
  <sheetViews>
    <sheetView workbookViewId="0">
      <selection activeCell="A2" sqref="A2:C3"/>
    </sheetView>
  </sheetViews>
  <sheetFormatPr defaultRowHeight="14.5" x14ac:dyDescent="0.35"/>
  <sheetData>
    <row r="2" spans="1:3" x14ac:dyDescent="0.35">
      <c r="A2" s="3">
        <v>1</v>
      </c>
      <c r="B2" s="3" t="s">
        <v>8</v>
      </c>
      <c r="C2" s="4">
        <v>0.93877551020408101</v>
      </c>
    </row>
    <row r="3" spans="1:3" x14ac:dyDescent="0.35">
      <c r="A3" s="3">
        <v>2</v>
      </c>
      <c r="B3" s="3" t="s">
        <v>34</v>
      </c>
      <c r="C3" s="4">
        <v>6.1224489795918297E-2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049B4-0CF9-4381-8A54-017B957CD763}">
  <dimension ref="A2:C4"/>
  <sheetViews>
    <sheetView workbookViewId="0">
      <selection activeCell="A2" sqref="A2:C4"/>
    </sheetView>
  </sheetViews>
  <sheetFormatPr defaultRowHeight="14.5" x14ac:dyDescent="0.35"/>
  <sheetData>
    <row r="2" spans="1:3" x14ac:dyDescent="0.35">
      <c r="A2" s="3">
        <v>1</v>
      </c>
      <c r="B2" s="3" t="s">
        <v>9</v>
      </c>
      <c r="C2" s="4">
        <v>0.530612244897959</v>
      </c>
    </row>
    <row r="3" spans="1:3" x14ac:dyDescent="0.35">
      <c r="A3" s="3">
        <v>2</v>
      </c>
      <c r="B3" s="3" t="s">
        <v>17</v>
      </c>
      <c r="C3" s="4">
        <v>0.40816326530612201</v>
      </c>
    </row>
    <row r="4" spans="1:3" x14ac:dyDescent="0.35">
      <c r="A4" s="3">
        <v>3</v>
      </c>
      <c r="B4" s="3" t="s">
        <v>40</v>
      </c>
      <c r="C4" s="4">
        <v>6.1224489795918297E-2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996D6-5A93-4742-BCE1-89FDCF6B33EC}">
  <dimension ref="A2:C3"/>
  <sheetViews>
    <sheetView workbookViewId="0">
      <selection activeCell="A2" sqref="A2:C3"/>
    </sheetView>
  </sheetViews>
  <sheetFormatPr defaultRowHeight="14.5" x14ac:dyDescent="0.35"/>
  <cols>
    <col min="2" max="2" width="5.453125" bestFit="1" customWidth="1"/>
  </cols>
  <sheetData>
    <row r="2" spans="1:3" x14ac:dyDescent="0.35">
      <c r="A2" s="3">
        <v>1</v>
      </c>
      <c r="B2" s="3" t="s">
        <v>62</v>
      </c>
      <c r="C2" s="4">
        <v>0.93877551020408101</v>
      </c>
    </row>
    <row r="3" spans="1:3" x14ac:dyDescent="0.35">
      <c r="A3" s="3">
        <v>2</v>
      </c>
      <c r="B3" s="3" t="s">
        <v>63</v>
      </c>
      <c r="C3" s="4">
        <v>6.1224489795918297E-2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CF200-9789-44DC-8D92-5DB074A28B11}">
  <dimension ref="A2:C5"/>
  <sheetViews>
    <sheetView workbookViewId="0">
      <selection activeCell="A2" sqref="A2:C5"/>
    </sheetView>
  </sheetViews>
  <sheetFormatPr defaultRowHeight="14.5" x14ac:dyDescent="0.35"/>
  <cols>
    <col min="2" max="2" width="14.54296875" bestFit="1" customWidth="1"/>
  </cols>
  <sheetData>
    <row r="2" spans="1:3" x14ac:dyDescent="0.35">
      <c r="A2" s="3">
        <v>1</v>
      </c>
      <c r="B2" s="3" t="s">
        <v>11</v>
      </c>
      <c r="C2" s="4">
        <v>0.81632653061224403</v>
      </c>
    </row>
    <row r="3" spans="1:3" x14ac:dyDescent="0.35">
      <c r="A3" s="3">
        <v>2</v>
      </c>
      <c r="B3" s="3" t="s">
        <v>36</v>
      </c>
      <c r="C3" s="4">
        <v>8.16326530612244E-2</v>
      </c>
    </row>
    <row r="4" spans="1:3" x14ac:dyDescent="0.35">
      <c r="A4" s="3">
        <v>3</v>
      </c>
      <c r="B4" s="3" t="s">
        <v>42</v>
      </c>
      <c r="C4" s="4">
        <v>6.1224489795918297E-2</v>
      </c>
    </row>
    <row r="5" spans="1:3" x14ac:dyDescent="0.35">
      <c r="A5" s="3">
        <v>4</v>
      </c>
      <c r="B5" s="3" t="s">
        <v>31</v>
      </c>
      <c r="C5" s="4">
        <v>4.08163265306122E-2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7AFA9-7F49-4087-BA67-F49FEAAB2A58}">
  <dimension ref="A2:C4"/>
  <sheetViews>
    <sheetView workbookViewId="0">
      <selection activeCell="A2" sqref="A2:C4"/>
    </sheetView>
  </sheetViews>
  <sheetFormatPr defaultRowHeight="14.5" x14ac:dyDescent="0.35"/>
  <cols>
    <col min="2" max="2" width="36.36328125" bestFit="1" customWidth="1"/>
    <col min="3" max="3" width="20.54296875" bestFit="1" customWidth="1"/>
  </cols>
  <sheetData>
    <row r="2" spans="1:3" x14ac:dyDescent="0.35">
      <c r="A2" s="3">
        <v>1</v>
      </c>
      <c r="B2" s="3" t="s">
        <v>12</v>
      </c>
      <c r="C2" s="4">
        <v>0.93877551020408101</v>
      </c>
    </row>
    <row r="3" spans="1:3" x14ac:dyDescent="0.35">
      <c r="A3" s="3">
        <v>2</v>
      </c>
      <c r="B3" s="3" t="s">
        <v>35</v>
      </c>
      <c r="C3" s="4">
        <v>6.1224489795918297E-2</v>
      </c>
    </row>
    <row r="4" spans="1:3" x14ac:dyDescent="0.35">
      <c r="A4">
        <v>3</v>
      </c>
      <c r="B4" t="s">
        <v>64</v>
      </c>
      <c r="C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Sheet4</vt:lpstr>
      <vt:lpstr>Sheet5</vt:lpstr>
      <vt:lpstr>Sheet6</vt:lpstr>
      <vt:lpstr>Sheet7</vt:lpstr>
      <vt:lpstr>Sheet9</vt:lpstr>
      <vt:lpstr>Sheet10</vt:lpstr>
      <vt:lpstr>Sheet11</vt:lpstr>
      <vt:lpstr>Sheet12</vt:lpstr>
      <vt:lpstr>Sheet13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2023-03-18T02:56:08Z</dcterms:created>
  <dcterms:modified xsi:type="dcterms:W3CDTF">2023-03-19T03:57:01Z</dcterms:modified>
</cp:coreProperties>
</file>